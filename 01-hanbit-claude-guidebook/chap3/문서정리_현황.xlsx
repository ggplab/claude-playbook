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목록" sheetId="1" state="visible" r:id="rId3"/>
    <sheet name="현황" sheetId="2" state="visible" r:id="rId4"/>
    <sheet name="정리결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<sst xmlns="http://schemas.openxmlformats.org/spreadsheetml/2006/main" count="342" uniqueCount="105">
  <si>
    <t xml:space="preserve">원래 폴더</t>
  </si>
  <si>
    <t xml:space="preserve">파일명</t>
  </si>
  <si>
    <t xml:space="preserve">형식</t>
  </si>
  <si>
    <r>
      <rPr>
        <b val="true"/>
        <sz val="11"/>
        <color rgb="FFFFFFFF"/>
        <rFont val="Noto Sans CJK SC"/>
        <family val="2"/>
      </rPr>
      <t xml:space="preserve">크기</t>
    </r>
    <r>
      <rPr>
        <b val="true"/>
        <sz val="11"/>
        <color rgb="FFFFFFFF"/>
        <rFont val="Arial"/>
        <family val="0"/>
        <charset val="1"/>
      </rPr>
      <t xml:space="preserve">(KB)</t>
    </r>
  </si>
  <si>
    <t xml:space="preserve">수정일</t>
  </si>
  <si>
    <t xml:space="preserve">판정</t>
  </si>
  <si>
    <t xml:space="preserve">민감</t>
  </si>
  <si>
    <t xml:space="preserve">판정 이유</t>
  </si>
  <si>
    <t xml:space="preserve">사진 정리해야함</t>
  </si>
  <si>
    <t xml:space="preserve">IMG_2031.jpg</t>
  </si>
  <si>
    <t xml:space="preserve">JPG</t>
  </si>
  <si>
    <t xml:space="preserve">확인 필요</t>
  </si>
  <si>
    <r>
      <rPr>
        <sz val="11"/>
        <rFont val="Noto Sans CJK SC"/>
        <family val="2"/>
      </rPr>
      <t xml:space="preserve">사진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분류 기준 불명확</t>
    </r>
  </si>
  <si>
    <r>
      <rPr>
        <sz val="11"/>
        <rFont val="Noto Sans CJK SC"/>
        <family val="2"/>
      </rPr>
      <t xml:space="preserve">스크린샷 </t>
    </r>
    <r>
      <rPr>
        <sz val="11"/>
        <rFont val="Arial"/>
        <family val="0"/>
        <charset val="1"/>
      </rPr>
      <t xml:space="preserve">2026-03-02 </t>
    </r>
    <r>
      <rPr>
        <sz val="11"/>
        <rFont val="Noto Sans CJK SC"/>
        <family val="2"/>
      </rPr>
      <t xml:space="preserve">오후 </t>
    </r>
    <r>
      <rPr>
        <sz val="11"/>
        <rFont val="Arial"/>
        <family val="0"/>
        <charset val="1"/>
      </rPr>
      <t xml:space="preserve">3.12.png</t>
    </r>
  </si>
  <si>
    <t xml:space="preserve">PNG</t>
  </si>
  <si>
    <r>
      <rPr>
        <sz val="11"/>
        <rFont val="Noto Sans CJK SC"/>
        <family val="2"/>
      </rPr>
      <t xml:space="preserve">스크린샷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용도 불명확</t>
    </r>
  </si>
  <si>
    <r>
      <rPr>
        <sz val="11"/>
        <rFont val="Noto Sans CJK SC"/>
        <family val="2"/>
      </rPr>
      <t xml:space="preserve">스크린샷 </t>
    </r>
    <r>
      <rPr>
        <sz val="11"/>
        <rFont val="Arial"/>
        <family val="0"/>
        <charset val="1"/>
      </rPr>
      <t xml:space="preserve">2026-05-19 </t>
    </r>
    <r>
      <rPr>
        <sz val="11"/>
        <rFont val="Noto Sans CJK SC"/>
        <family val="2"/>
      </rPr>
      <t xml:space="preserve">오전 </t>
    </r>
    <r>
      <rPr>
        <sz val="11"/>
        <rFont val="Arial"/>
        <family val="0"/>
        <charset val="1"/>
      </rPr>
      <t xml:space="preserve">10.41.png</t>
    </r>
  </si>
  <si>
    <t xml:space="preserve">새 폴더</t>
  </si>
  <si>
    <r>
      <rPr>
        <sz val="11"/>
        <rFont val="Arial"/>
        <family val="0"/>
        <charset val="1"/>
      </rPr>
      <t xml:space="preserve">2024 </t>
    </r>
    <r>
      <rPr>
        <sz val="11"/>
        <rFont val="Noto Sans CJK SC"/>
        <family val="2"/>
      </rPr>
      <t xml:space="preserve">건강검진 결과</t>
    </r>
    <r>
      <rPr>
        <sz val="11"/>
        <rFont val="Arial"/>
        <family val="0"/>
        <charset val="1"/>
      </rPr>
      <t xml:space="preserve">.pdf</t>
    </r>
  </si>
  <si>
    <t xml:space="preserve">PDF</t>
  </si>
  <si>
    <t xml:space="preserve">보관</t>
  </si>
  <si>
    <t xml:space="preserve">건강 서류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</si>
  <si>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분기 예산안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).xlsx</t>
    </r>
  </si>
  <si>
    <t xml:space="preserve">XLSX</t>
  </si>
  <si>
    <t xml:space="preserve">예산안 업무 문서</t>
  </si>
  <si>
    <t xml:space="preserve">스캔</t>
  </si>
  <si>
    <t xml:space="preserve">scan0042.pdf</t>
  </si>
  <si>
    <r>
      <rPr>
        <sz val="11"/>
        <rFont val="Noto Sans CJK SC"/>
        <family val="2"/>
      </rPr>
      <t xml:space="preserve">스캔 파일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내용 확인 필요</t>
    </r>
  </si>
  <si>
    <r>
      <rPr>
        <sz val="11"/>
        <rFont val="Noto Sans CJK SC"/>
        <family val="2"/>
      </rPr>
      <t xml:space="preserve">검진결과</t>
    </r>
    <r>
      <rPr>
        <sz val="11"/>
        <rFont val="Arial"/>
        <family val="0"/>
        <charset val="1"/>
      </rPr>
      <t xml:space="preserve">_2023(</t>
    </r>
    <r>
      <rPr>
        <sz val="11"/>
        <rFont val="Noto Sans CJK SC"/>
        <family val="2"/>
      </rPr>
      <t xml:space="preserve">스캔</t>
    </r>
    <r>
      <rPr>
        <sz val="11"/>
        <rFont val="Arial"/>
        <family val="0"/>
        <charset val="1"/>
      </rPr>
      <t xml:space="preserve">).pdf</t>
    </r>
  </si>
  <si>
    <r>
      <rPr>
        <sz val="11"/>
        <rFont val="Noto Sans CJK SC"/>
        <family val="2"/>
      </rPr>
      <t xml:space="preserve">임대차계약서</t>
    </r>
    <r>
      <rPr>
        <sz val="11"/>
        <rFont val="Arial"/>
        <family val="0"/>
        <charset val="1"/>
      </rPr>
      <t xml:space="preserve">.pdf</t>
    </r>
  </si>
  <si>
    <t xml:space="preserve">계약 서류</t>
  </si>
  <si>
    <r>
      <rPr>
        <sz val="11"/>
        <rFont val="Noto Sans CJK SC"/>
        <family val="2"/>
      </rPr>
      <t xml:space="preserve">제안서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참고자료</t>
    </r>
  </si>
  <si>
    <r>
      <rPr>
        <sz val="11"/>
        <rFont val="Noto Sans CJK SC"/>
        <family val="2"/>
      </rPr>
      <t xml:space="preserve">경쟁사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비교</t>
    </r>
    <r>
      <rPr>
        <sz val="11"/>
        <rFont val="Arial"/>
        <family val="0"/>
        <charset val="1"/>
      </rPr>
      <t xml:space="preserve">.xlsx</t>
    </r>
  </si>
  <si>
    <r>
      <rPr>
        <sz val="11"/>
        <rFont val="Noto Sans CJK SC"/>
        <family val="2"/>
      </rPr>
      <t xml:space="preserve">제안서 참고자료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업무 문서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</si>
  <si>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시장조사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요약</t>
    </r>
    <r>
      <rPr>
        <sz val="11"/>
        <rFont val="Arial"/>
        <family val="0"/>
        <charset val="1"/>
      </rPr>
      <t xml:space="preserve">.pdf</t>
    </r>
  </si>
  <si>
    <r>
      <rPr>
        <sz val="11"/>
        <rFont val="Noto Sans CJK SC"/>
        <family val="2"/>
      </rPr>
      <t xml:space="preserve">최상위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장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샘플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문서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</si>
  <si>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Setup_</t>
    </r>
    <r>
      <rPr>
        <sz val="11"/>
        <rFont val="Noto Sans CJK SC"/>
        <family val="2"/>
      </rPr>
      <t xml:space="preserve">프린터드라이버</t>
    </r>
    <r>
      <rPr>
        <sz val="11"/>
        <rFont val="Arial"/>
        <family val="0"/>
        <charset val="1"/>
      </rPr>
      <t xml:space="preserve">.exe</t>
    </r>
  </si>
  <si>
    <t xml:space="preserve">EXE</t>
  </si>
  <si>
    <t xml:space="preserve">아카이브</t>
  </si>
  <si>
    <t xml:space="preserve">설치 파일</t>
  </si>
  <si>
    <r>
      <rPr>
        <sz val="11"/>
        <rFont val="Noto Sans CJK SC"/>
        <family val="2"/>
      </rPr>
      <t xml:space="preserve">가계부</t>
    </r>
    <r>
      <rPr>
        <sz val="11"/>
        <rFont val="Arial"/>
        <family val="0"/>
        <charset val="1"/>
      </rPr>
      <t xml:space="preserve">2025.xlsx</t>
    </r>
  </si>
  <si>
    <t xml:space="preserve">가계 서류</t>
  </si>
  <si>
    <r>
      <rPr>
        <sz val="11"/>
        <rFont val="Noto Sans CJK SC"/>
        <family val="2"/>
      </rPr>
      <t xml:space="preserve">건강검진결과</t>
    </r>
    <r>
      <rPr>
        <sz val="11"/>
        <rFont val="Arial"/>
        <family val="0"/>
        <charset val="1"/>
      </rPr>
      <t xml:space="preserve">_2025.pdf</t>
    </r>
  </si>
  <si>
    <r>
      <rPr>
        <sz val="11"/>
        <rFont val="Noto Sans CJK SC"/>
        <family val="2"/>
      </rPr>
      <t xml:space="preserve">발표자료</t>
    </r>
    <r>
      <rPr>
        <sz val="11"/>
        <rFont val="Arial"/>
        <family val="0"/>
        <charset val="1"/>
      </rPr>
      <t xml:space="preserve">_v3.pptx</t>
    </r>
  </si>
  <si>
    <t xml:space="preserve">PPTX</t>
  </si>
  <si>
    <t xml:space="preserve">발표자료 최신본</t>
  </si>
  <si>
    <r>
      <rPr>
        <sz val="11"/>
        <rFont val="Noto Sans CJK SC"/>
        <family val="2"/>
      </rPr>
      <t xml:space="preserve">발표자료</t>
    </r>
    <r>
      <rPr>
        <sz val="11"/>
        <rFont val="Arial"/>
        <family val="0"/>
        <charset val="1"/>
      </rPr>
      <t xml:space="preserve">_v3_old.pptx</t>
    </r>
  </si>
  <si>
    <r>
      <rPr>
        <sz val="11"/>
        <rFont val="Arial"/>
        <family val="0"/>
        <charset val="1"/>
      </rPr>
      <t xml:space="preserve">'old' </t>
    </r>
    <r>
      <rPr>
        <sz val="11"/>
        <rFont val="Noto Sans CJK SC"/>
        <family val="2"/>
      </rPr>
      <t xml:space="preserve">사본</t>
    </r>
  </si>
  <si>
    <r>
      <rPr>
        <sz val="11"/>
        <rFont val="Noto Sans CJK SC"/>
        <family val="2"/>
      </rPr>
      <t xml:space="preserve">새 문서</t>
    </r>
    <r>
      <rPr>
        <sz val="11"/>
        <rFont val="Arial"/>
        <family val="0"/>
        <charset val="1"/>
      </rPr>
      <t xml:space="preserve">.txt</t>
    </r>
  </si>
  <si>
    <t xml:space="preserve">TXT</t>
  </si>
  <si>
    <t xml:space="preserve">빈 파일</t>
  </si>
  <si>
    <r>
      <rPr>
        <sz val="11"/>
        <rFont val="Noto Sans CJK SC"/>
        <family val="2"/>
      </rPr>
      <t xml:space="preserve">제안서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참고자료</t>
    </r>
    <r>
      <rPr>
        <sz val="11"/>
        <rFont val="Arial"/>
        <family val="0"/>
        <charset val="1"/>
      </rPr>
      <t xml:space="preserve">.zip</t>
    </r>
  </si>
  <si>
    <t xml:space="preserve">ZIP</t>
  </si>
  <si>
    <t xml:space="preserve">압축 해제된 폴더 존재</t>
  </si>
  <si>
    <r>
      <rPr>
        <sz val="11"/>
        <rFont val="Noto Sans CJK SC"/>
        <family val="2"/>
      </rPr>
      <t xml:space="preserve">주간보고</t>
    </r>
    <r>
      <rPr>
        <sz val="11"/>
        <rFont val="Arial"/>
        <family val="0"/>
        <charset val="1"/>
      </rPr>
      <t xml:space="preserve">_9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주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최종</t>
    </r>
    <r>
      <rPr>
        <sz val="11"/>
        <rFont val="Arial"/>
        <family val="0"/>
        <charset val="1"/>
      </rPr>
      <t xml:space="preserve">.docx</t>
    </r>
  </si>
  <si>
    <t xml:space="preserve">DOCX</t>
  </si>
  <si>
    <t xml:space="preserve">주간보고 최신본</t>
  </si>
  <si>
    <r>
      <rPr>
        <sz val="11"/>
        <rFont val="Noto Sans CJK SC"/>
        <family val="2"/>
      </rPr>
      <t xml:space="preserve">주간보고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최종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복사본</t>
    </r>
    <r>
      <rPr>
        <sz val="11"/>
        <rFont val="Arial"/>
        <family val="0"/>
        <charset val="1"/>
      </rPr>
      <t xml:space="preserve">.docx</t>
    </r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</si>
  <si>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복사본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사본</t>
    </r>
  </si>
  <si>
    <r>
      <rPr>
        <sz val="11"/>
        <rFont val="Noto Sans CJK SC"/>
        <family val="2"/>
      </rPr>
      <t xml:space="preserve">주간보고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최종</t>
    </r>
    <r>
      <rPr>
        <sz val="11"/>
        <rFont val="Arial"/>
        <family val="0"/>
        <charset val="1"/>
      </rPr>
      <t xml:space="preserve">.docx</t>
    </r>
  </si>
  <si>
    <t xml:space="preserve">주간보고 이전 판</t>
  </si>
  <si>
    <r>
      <rPr>
        <sz val="11"/>
        <rFont val="Noto Sans CJK SC"/>
        <family val="2"/>
      </rPr>
      <t xml:space="preserve">주간보고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최종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진짜최종</t>
    </r>
    <r>
      <rPr>
        <sz val="11"/>
        <rFont val="Arial"/>
        <family val="0"/>
        <charset val="1"/>
      </rPr>
      <t xml:space="preserve">.docx</t>
    </r>
  </si>
  <si>
    <t xml:space="preserve">주간보고 중간 판</t>
  </si>
  <si>
    <t xml:space="preserve">카카오톡 받은 파일</t>
  </si>
  <si>
    <r>
      <rPr>
        <sz val="11"/>
        <rFont val="Noto Sans CJK SC"/>
        <family val="2"/>
      </rPr>
      <t xml:space="preserve">연말정산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간소화자료</t>
    </r>
    <r>
      <rPr>
        <sz val="11"/>
        <rFont val="Arial"/>
        <family val="0"/>
        <charset val="1"/>
      </rPr>
      <t xml:space="preserve">.pdf</t>
    </r>
  </si>
  <si>
    <t xml:space="preserve">세금 서류</t>
  </si>
  <si>
    <r>
      <rPr>
        <sz val="11"/>
        <rFont val="Noto Sans CJK SC"/>
        <family val="2"/>
      </rPr>
      <t xml:space="preserve">워크숍 장소 약도</t>
    </r>
    <r>
      <rPr>
        <sz val="11"/>
        <rFont val="Arial"/>
        <family val="0"/>
        <charset val="1"/>
      </rPr>
      <t xml:space="preserve">.png</t>
    </r>
  </si>
  <si>
    <r>
      <rPr>
        <sz val="11"/>
        <rFont val="Noto Sans CJK SC"/>
        <family val="2"/>
      </rPr>
      <t xml:space="preserve">행사 안내 이미지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보관 필요성 불명확</t>
    </r>
  </si>
  <si>
    <t xml:space="preserve">형식별 개수와 용량</t>
  </si>
  <si>
    <t xml:space="preserve">개수</t>
  </si>
  <si>
    <r>
      <rPr>
        <b val="true"/>
        <sz val="11"/>
        <color rgb="FFFFFFFF"/>
        <rFont val="Noto Sans CJK SC"/>
        <family val="2"/>
      </rPr>
      <t xml:space="preserve">용량</t>
    </r>
    <r>
      <rPr>
        <b val="true"/>
        <sz val="11"/>
        <color rgb="FFFFFFFF"/>
        <rFont val="Arial"/>
        <family val="0"/>
        <charset val="1"/>
      </rPr>
      <t xml:space="preserve">(KB)</t>
    </r>
  </si>
  <si>
    <t xml:space="preserve">합계</t>
  </si>
  <si>
    <r>
      <rPr>
        <b val="true"/>
        <sz val="13"/>
        <rFont val="Noto Sans CJK SC"/>
        <family val="2"/>
      </rPr>
      <t xml:space="preserve">가장 큰 파일 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개</t>
    </r>
  </si>
  <si>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년 넘게 수정하지 않은 파일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기준일 </t>
    </r>
    <r>
      <rPr>
        <b val="true"/>
        <sz val="13"/>
        <rFont val="Arial"/>
        <family val="0"/>
        <charset val="1"/>
      </rPr>
      <t xml:space="preserve">2026-09-14, 2025-09-14 </t>
    </r>
    <r>
      <rPr>
        <b val="true"/>
        <sz val="13"/>
        <rFont val="Noto Sans CJK SC"/>
        <family val="2"/>
      </rPr>
      <t xml:space="preserve">이전</t>
    </r>
    <r>
      <rPr>
        <b val="true"/>
        <sz val="13"/>
        <rFont val="Arial"/>
        <family val="0"/>
        <charset val="1"/>
      </rPr>
      <t xml:space="preserve">)</t>
    </r>
  </si>
  <si>
    <t xml:space="preserve">경과일수</t>
  </si>
  <si>
    <r>
      <rPr>
        <b val="true"/>
        <sz val="13"/>
        <rFont val="Noto Sans CJK SC"/>
        <family val="2"/>
      </rPr>
      <t xml:space="preserve">폴더 정리 결과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최초 정리 </t>
    </r>
    <r>
      <rPr>
        <b val="true"/>
        <sz val="13"/>
        <rFont val="Arial"/>
        <family val="0"/>
        <charset val="1"/>
      </rPr>
      <t xml:space="preserve">2026-09-14, </t>
    </r>
    <r>
      <rPr>
        <b val="true"/>
        <sz val="13"/>
        <rFont val="Noto Sans CJK SC"/>
        <family val="2"/>
      </rPr>
      <t xml:space="preserve">신규 파일 반영 </t>
    </r>
    <r>
      <rPr>
        <b val="true"/>
        <sz val="13"/>
        <rFont val="Arial"/>
        <family val="0"/>
        <charset val="1"/>
      </rPr>
      <t xml:space="preserve">2026-09-14)</t>
    </r>
  </si>
  <si>
    <t xml:space="preserve">파일 수</t>
  </si>
  <si>
    <r>
      <rPr>
        <sz val="11"/>
        <rFont val="Arial"/>
        <family val="0"/>
        <charset val="1"/>
      </rPr>
      <t xml:space="preserve">00_</t>
    </r>
    <r>
      <rPr>
        <sz val="11"/>
        <rFont val="Noto Sans CJK SC"/>
        <family val="2"/>
      </rPr>
      <t xml:space="preserve">확인필요</t>
    </r>
  </si>
  <si>
    <r>
      <rPr>
        <sz val="11"/>
        <rFont val="Arial"/>
        <family val="0"/>
        <charset val="1"/>
      </rPr>
      <t xml:space="preserve">01_</t>
    </r>
    <r>
      <rPr>
        <sz val="11"/>
        <rFont val="Noto Sans CJK SC"/>
        <family val="2"/>
      </rPr>
      <t xml:space="preserve">업무문서</t>
    </r>
  </si>
  <si>
    <r>
      <rPr>
        <sz val="11"/>
        <rFont val="Arial"/>
        <family val="0"/>
        <charset val="1"/>
      </rPr>
      <t xml:space="preserve">02_</t>
    </r>
    <r>
      <rPr>
        <sz val="11"/>
        <rFont val="Noto Sans CJK SC"/>
        <family val="2"/>
      </rPr>
      <t xml:space="preserve">사진</t>
    </r>
  </si>
  <si>
    <r>
      <rPr>
        <sz val="11"/>
        <rFont val="Arial"/>
        <family val="0"/>
        <charset val="1"/>
      </rPr>
      <t xml:space="preserve">03_</t>
    </r>
    <r>
      <rPr>
        <sz val="11"/>
        <rFont val="Noto Sans CJK SC"/>
        <family val="2"/>
      </rPr>
      <t xml:space="preserve">개인</t>
    </r>
  </si>
  <si>
    <r>
      <rPr>
        <sz val="11"/>
        <rFont val="Arial"/>
        <family val="0"/>
        <charset val="1"/>
      </rPr>
      <t xml:space="preserve">99_</t>
    </r>
    <r>
      <rPr>
        <sz val="11"/>
        <rFont val="Noto Sans CJK SC"/>
        <family val="2"/>
      </rPr>
      <t xml:space="preserve">아카이브</t>
    </r>
  </si>
  <si>
    <r>
      <rPr>
        <i val="true"/>
        <sz val="9"/>
        <color rgb="FF777777"/>
        <rFont val="Arial"/>
        <family val="0"/>
        <charset val="1"/>
      </rPr>
      <t xml:space="preserve">※ 02_</t>
    </r>
    <r>
      <rPr>
        <i val="true"/>
        <sz val="9"/>
        <color rgb="FF777777"/>
        <rFont val="Noto Sans CJK SC"/>
        <family val="2"/>
      </rPr>
      <t xml:space="preserve">사진 폴더는 사진 파일이 모두 </t>
    </r>
    <r>
      <rPr>
        <i val="true"/>
        <sz val="9"/>
        <color rgb="FF777777"/>
        <rFont val="Arial"/>
        <family val="0"/>
        <charset val="1"/>
      </rPr>
      <t xml:space="preserve">'</t>
    </r>
    <r>
      <rPr>
        <i val="true"/>
        <sz val="9"/>
        <color rgb="FF777777"/>
        <rFont val="Noto Sans CJK SC"/>
        <family val="2"/>
      </rPr>
      <t xml:space="preserve">확인 필요</t>
    </r>
    <r>
      <rPr>
        <i val="true"/>
        <sz val="9"/>
        <color rgb="FF777777"/>
        <rFont val="Arial"/>
        <family val="0"/>
        <charset val="1"/>
      </rPr>
      <t xml:space="preserve">'</t>
    </r>
    <r>
      <rPr>
        <i val="true"/>
        <sz val="9"/>
        <color rgb="FF777777"/>
        <rFont val="Noto Sans CJK SC"/>
        <family val="2"/>
      </rPr>
      <t xml:space="preserve">로 분류되어 비어 있습니다 </t>
    </r>
    <r>
      <rPr>
        <i val="true"/>
        <sz val="9"/>
        <color rgb="FF777777"/>
        <rFont val="Arial"/>
        <family val="0"/>
        <charset val="1"/>
      </rPr>
      <t xml:space="preserve">(</t>
    </r>
    <r>
      <rPr>
        <i val="true"/>
        <sz val="9"/>
        <color rgb="FF777777"/>
        <rFont val="Noto Sans CJK SC"/>
        <family val="2"/>
      </rPr>
      <t xml:space="preserve">폴더는 생성됨</t>
    </r>
    <r>
      <rPr>
        <i val="true"/>
        <sz val="9"/>
        <color rgb="FF777777"/>
        <rFont val="Arial"/>
        <family val="0"/>
        <charset val="1"/>
      </rPr>
      <t xml:space="preserve">). 09-14 </t>
    </r>
    <r>
      <rPr>
        <i val="true"/>
        <sz val="9"/>
        <color rgb="FF777777"/>
        <rFont val="Noto Sans CJK SC"/>
        <family val="2"/>
      </rPr>
      <t xml:space="preserve">신규 추가된 주간보고 파일로 </t>
    </r>
    <r>
      <rPr>
        <i val="true"/>
        <sz val="9"/>
        <color rgb="FF777777"/>
        <rFont val="Arial"/>
        <family val="0"/>
        <charset val="1"/>
      </rPr>
      <t xml:space="preserve">v02</t>
    </r>
    <r>
      <rPr>
        <i val="true"/>
        <sz val="9"/>
        <color rgb="FF777777"/>
        <rFont val="Noto Sans CJK SC"/>
        <family val="2"/>
      </rPr>
      <t xml:space="preserve">가 </t>
    </r>
    <r>
      <rPr>
        <i val="true"/>
        <sz val="9"/>
        <color rgb="FF777777"/>
        <rFont val="Arial"/>
        <family val="0"/>
        <charset val="1"/>
      </rPr>
      <t xml:space="preserve">'</t>
    </r>
    <r>
      <rPr>
        <i val="true"/>
        <sz val="9"/>
        <color rgb="FF777777"/>
        <rFont val="Noto Sans CJK SC"/>
        <family val="2"/>
      </rPr>
      <t xml:space="preserve">중간 판</t>
    </r>
    <r>
      <rPr>
        <i val="true"/>
        <sz val="9"/>
        <color rgb="FF777777"/>
        <rFont val="Arial"/>
        <family val="0"/>
        <charset val="1"/>
      </rPr>
      <t xml:space="preserve">'</t>
    </r>
    <r>
      <rPr>
        <i val="true"/>
        <sz val="9"/>
        <color rgb="FF777777"/>
        <rFont val="Noto Sans CJK SC"/>
        <family val="2"/>
      </rPr>
      <t xml:space="preserve">으로 재분류되었습니다</t>
    </r>
    <r>
      <rPr>
        <i val="true"/>
        <sz val="9"/>
        <color rgb="FF777777"/>
        <rFont val="Arial"/>
        <family val="0"/>
        <charset val="1"/>
      </rPr>
      <t xml:space="preserve">.</t>
    </r>
  </si>
  <si>
    <t xml:space="preserve">이동 상세 내역</t>
  </si>
  <si>
    <t xml:space="preserve">원래 위치</t>
  </si>
  <si>
    <t xml:space="preserve">원래 파일명</t>
  </si>
  <si>
    <t xml:space="preserve">새 파일명</t>
  </si>
  <si>
    <t xml:space="preserve">이름 변경</t>
  </si>
  <si>
    <t xml:space="preserve">-</t>
  </si>
  <si>
    <r>
      <rPr>
        <sz val="11"/>
        <rFont val="Noto Sans CJK SC"/>
        <family val="2"/>
      </rPr>
      <t xml:space="preserve">보관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업무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</si>
  <si>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2025-02-10_</t>
    </r>
    <r>
      <rPr>
        <sz val="11"/>
        <rFont val="Noto Sans CJK SC"/>
        <family val="2"/>
      </rPr>
      <t xml:space="preserve">제안서참고자료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경쟁사비교</t>
    </r>
    <r>
      <rPr>
        <sz val="11"/>
        <rFont val="Arial"/>
        <family val="0"/>
        <charset val="1"/>
      </rPr>
      <t xml:space="preserve">.xlsx</t>
    </r>
  </si>
  <si>
    <t xml:space="preserve">변경됨</t>
  </si>
  <si>
    <r>
      <rPr>
        <sz val="11"/>
        <rFont val="Arial"/>
        <family val="0"/>
        <charset val="1"/>
      </rPr>
      <t xml:space="preserve">2025-02-10_</t>
    </r>
    <r>
      <rPr>
        <sz val="11"/>
        <rFont val="Noto Sans CJK SC"/>
        <family val="2"/>
      </rPr>
      <t xml:space="preserve">제안서참고자료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시장조사요약</t>
    </r>
    <r>
      <rPr>
        <sz val="11"/>
        <rFont val="Arial"/>
        <family val="0"/>
        <charset val="1"/>
      </rPr>
      <t xml:space="preserve">.pdf</t>
    </r>
  </si>
  <si>
    <r>
      <rPr>
        <sz val="11"/>
        <rFont val="Arial"/>
        <family val="0"/>
        <charset val="1"/>
      </rPr>
      <t xml:space="preserve">2025-11-05_</t>
    </r>
    <r>
      <rPr>
        <sz val="11"/>
        <rFont val="Noto Sans CJK SC"/>
        <family val="2"/>
      </rPr>
      <t xml:space="preserve">발표자료</t>
    </r>
    <r>
      <rPr>
        <sz val="11"/>
        <rFont val="Arial"/>
        <family val="0"/>
        <charset val="1"/>
      </rPr>
      <t xml:space="preserve">_v03.pptx</t>
    </r>
  </si>
  <si>
    <r>
      <rPr>
        <sz val="11"/>
        <rFont val="Arial"/>
        <family val="0"/>
        <charset val="1"/>
      </rPr>
      <t xml:space="preserve">2026-07-10_</t>
    </r>
    <r>
      <rPr>
        <sz val="11"/>
        <rFont val="Noto Sans CJK SC"/>
        <family val="2"/>
      </rPr>
      <t xml:space="preserve">예산안</t>
    </r>
    <r>
      <rPr>
        <sz val="11"/>
        <rFont val="Arial"/>
        <family val="0"/>
        <charset val="1"/>
      </rPr>
      <t xml:space="preserve">_3</t>
    </r>
    <r>
      <rPr>
        <sz val="11"/>
        <rFont val="Noto Sans CJK SC"/>
        <family val="2"/>
      </rPr>
      <t xml:space="preserve">분기수정</t>
    </r>
    <r>
      <rPr>
        <sz val="11"/>
        <rFont val="Arial"/>
        <family val="0"/>
        <charset val="1"/>
      </rPr>
      <t xml:space="preserve">.xlsx</t>
    </r>
  </si>
  <si>
    <r>
      <rPr>
        <sz val="11"/>
        <rFont val="Arial"/>
        <family val="0"/>
        <charset val="1"/>
      </rPr>
      <t xml:space="preserve">2026-08-28_</t>
    </r>
    <r>
      <rPr>
        <sz val="11"/>
        <rFont val="Noto Sans CJK SC"/>
        <family val="2"/>
      </rPr>
      <t xml:space="preserve">주간보고</t>
    </r>
    <r>
      <rPr>
        <sz val="11"/>
        <rFont val="Arial"/>
        <family val="0"/>
        <charset val="1"/>
      </rPr>
      <t xml:space="preserve">_v01.docx</t>
    </r>
  </si>
  <si>
    <r>
      <rPr>
        <sz val="11"/>
        <rFont val="Arial"/>
        <family val="0"/>
        <charset val="1"/>
      </rPr>
      <t xml:space="preserve">2026-08-29_</t>
    </r>
    <r>
      <rPr>
        <sz val="11"/>
        <rFont val="Noto Sans CJK SC"/>
        <family val="2"/>
      </rPr>
      <t xml:space="preserve">주간보고</t>
    </r>
    <r>
      <rPr>
        <sz val="11"/>
        <rFont val="Arial"/>
        <family val="0"/>
        <charset val="1"/>
      </rPr>
      <t xml:space="preserve">_v02.docx</t>
    </r>
  </si>
  <si>
    <r>
      <rPr>
        <sz val="11"/>
        <rFont val="Arial"/>
        <family val="0"/>
        <charset val="1"/>
      </rPr>
      <t xml:space="preserve">2026-09-04_</t>
    </r>
    <r>
      <rPr>
        <sz val="11"/>
        <rFont val="Noto Sans CJK SC"/>
        <family val="2"/>
      </rPr>
      <t xml:space="preserve">주간보고</t>
    </r>
    <r>
      <rPr>
        <sz val="11"/>
        <rFont val="Arial"/>
        <family val="0"/>
        <charset val="1"/>
      </rPr>
      <t xml:space="preserve">_v03.docx</t>
    </r>
  </si>
  <si>
    <r>
      <rPr>
        <sz val="11"/>
        <rFont val="Noto Sans CJK SC"/>
        <family val="2"/>
      </rPr>
      <t xml:space="preserve">보관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개인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</si>
  <si>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2023_</t>
    </r>
    <r>
      <rPr>
        <sz val="11"/>
        <rFont val="Noto Sans CJK SC"/>
        <family val="2"/>
      </rPr>
      <t xml:space="preserve">건강검진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스캔본</t>
    </r>
    <r>
      <rPr>
        <sz val="11"/>
        <rFont val="Arial"/>
        <family val="0"/>
        <charset val="1"/>
      </rPr>
      <t xml:space="preserve">.pdf</t>
    </r>
  </si>
  <si>
    <r>
      <rPr>
        <sz val="11"/>
        <rFont val="Arial"/>
        <family val="0"/>
        <charset val="1"/>
      </rPr>
      <t xml:space="preserve">2024-03-15_</t>
    </r>
    <r>
      <rPr>
        <sz val="11"/>
        <rFont val="Noto Sans CJK SC"/>
        <family val="2"/>
      </rPr>
      <t xml:space="preserve">임대차계약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스캔본</t>
    </r>
    <r>
      <rPr>
        <sz val="11"/>
        <rFont val="Arial"/>
        <family val="0"/>
        <charset val="1"/>
      </rPr>
      <t xml:space="preserve">.pdf</t>
    </r>
  </si>
  <si>
    <r>
      <rPr>
        <sz val="11"/>
        <rFont val="Arial"/>
        <family val="0"/>
        <charset val="1"/>
      </rPr>
      <t xml:space="preserve">2024_</t>
    </r>
    <r>
      <rPr>
        <sz val="11"/>
        <rFont val="Noto Sans CJK SC"/>
        <family val="2"/>
      </rPr>
      <t xml:space="preserve">건강검진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결과</t>
    </r>
    <r>
      <rPr>
        <sz val="11"/>
        <rFont val="Arial"/>
        <family val="0"/>
        <charset val="1"/>
      </rPr>
      <t xml:space="preserve">.pdf</t>
    </r>
  </si>
  <si>
    <r>
      <rPr>
        <sz val="11"/>
        <rFont val="Arial"/>
        <family val="0"/>
        <charset val="1"/>
      </rPr>
      <t xml:space="preserve">2025_</t>
    </r>
    <r>
      <rPr>
        <sz val="11"/>
        <rFont val="Noto Sans CJK SC"/>
        <family val="2"/>
      </rPr>
      <t xml:space="preserve">가계부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연간</t>
    </r>
    <r>
      <rPr>
        <sz val="11"/>
        <rFont val="Arial"/>
        <family val="0"/>
        <charset val="1"/>
      </rPr>
      <t xml:space="preserve">.xlsx</t>
    </r>
  </si>
  <si>
    <r>
      <rPr>
        <sz val="11"/>
        <rFont val="Arial"/>
        <family val="0"/>
        <charset val="1"/>
      </rPr>
      <t xml:space="preserve">2025_</t>
    </r>
    <r>
      <rPr>
        <sz val="11"/>
        <rFont val="Noto Sans CJK SC"/>
        <family val="2"/>
      </rPr>
      <t xml:space="preserve">건강검진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결과</t>
    </r>
    <r>
      <rPr>
        <sz val="11"/>
        <rFont val="Arial"/>
        <family val="0"/>
        <charset val="1"/>
      </rPr>
      <t xml:space="preserve">.pdf</t>
    </r>
  </si>
  <si>
    <r>
      <rPr>
        <sz val="11"/>
        <rFont val="Arial"/>
        <family val="0"/>
        <charset val="1"/>
      </rPr>
      <t xml:space="preserve">2026_</t>
    </r>
    <r>
      <rPr>
        <sz val="11"/>
        <rFont val="Noto Sans CJK SC"/>
        <family val="2"/>
      </rPr>
      <t xml:space="preserve">연말정산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간소화자료</t>
    </r>
    <r>
      <rPr>
        <sz val="11"/>
        <rFont val="Arial"/>
        <family val="0"/>
        <charset val="1"/>
      </rPr>
      <t xml:space="preserve">.pdf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</si>
</sst>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yyyy\-mm\-dd"/>
    <numFmt numFmtId="167" formatCode="General"/>
    <numFmt numFmtId="168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3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i val="true"/>
      <sz val="9"/>
      <color rgb="FF777777"/>
      <name val="Arial"/>
      <family val="0"/>
      <charset val="1"/>
    </font>
    <font>
      <i val="true"/>
      <sz val="9"/>
      <color rgb="FF777777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77777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형식별 용량(KB)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현황!C3</c:f>
              <c:strCache>
                <c:ptCount val="1"/>
                <c:pt idx="0">
                  <c:v>용량(KB)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현황!$A$4:$A$12</c:f>
              <c:strCache>
                <c:ptCount val="9"/>
                <c:pt idx="0">
                  <c:v>DOCX</c:v>
                </c:pt>
                <c:pt idx="1">
                  <c:v>EXE</c:v>
                </c:pt>
                <c:pt idx="2">
                  <c:v>JPG</c:v>
                </c:pt>
                <c:pt idx="3">
                  <c:v>PDF</c:v>
                </c:pt>
                <c:pt idx="4">
                  <c:v>PNG</c:v>
                </c:pt>
                <c:pt idx="5">
                  <c:v>PPTX</c:v>
                </c:pt>
                <c:pt idx="6">
                  <c:v>TXT</c:v>
                </c:pt>
                <c:pt idx="7">
                  <c:v>XLSX</c:v>
                </c:pt>
                <c:pt idx="8">
                  <c:v>ZIP</c:v>
                </c:pt>
              </c:strCache>
            </c:strRef>
          </c:cat>
          <c:val>
            <c:numRef>
              <c:f>현황!$C$4:$C$12</c:f>
              <c:numCache>
                <c:formatCode>#,##0.0</c:formatCode>
                <c:ptCount val="9"/>
                <c:pt idx="0">
                  <c:v>144.5</c:v>
                </c:pt>
                <c:pt idx="1">
                  <c:v>6144</c:v>
                </c:pt>
                <c:pt idx="2">
                  <c:v>831</c:v>
                </c:pt>
                <c:pt idx="3">
                  <c:v>190.5</c:v>
                </c:pt>
                <c:pt idx="4">
                  <c:v>95.5</c:v>
                </c:pt>
                <c:pt idx="5">
                  <c:v>62.1</c:v>
                </c:pt>
                <c:pt idx="6">
                  <c:v>0</c:v>
                </c:pt>
                <c:pt idx="7">
                  <c:v>17.2</c:v>
                </c:pt>
                <c:pt idx="8">
                  <c:v>28</c:v>
                </c:pt>
              </c:numCache>
            </c:numRef>
          </c:val>
        </c:ser>
        <c:gapWidth val="150"/>
        <c:overlap val="0"/>
        <c:axId val="9289856"/>
        <c:axId val="27452863"/>
      </c:barChart>
      <c:catAx>
        <c:axId val="9289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형식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52863"/>
        <c:crosses val="autoZero"/>
        <c:auto val="1"/>
        <c:lblAlgn val="ctr"/>
        <c:lblOffset val="100"/>
        <c:noMultiLvlLbl val="0"/>
      </c:catAx>
      <c:valAx>
        <c:axId val="27452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용량(KB)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98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새 폴더별 파일 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정리결과!B3</c:f>
              <c:strCache>
                <c:ptCount val="1"/>
                <c:pt idx="0">
                  <c:v>파일 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정리결과!$A$4:$A$8</c:f>
              <c:strCache>
                <c:ptCount val="5"/>
                <c:pt idx="0">
                  <c:v>00_확인필요</c:v>
                </c:pt>
                <c:pt idx="1">
                  <c:v>01_업무문서</c:v>
                </c:pt>
                <c:pt idx="2">
                  <c:v>02_사진</c:v>
                </c:pt>
                <c:pt idx="3">
                  <c:v>03_개인</c:v>
                </c:pt>
                <c:pt idx="4">
                  <c:v>99_아카이브</c:v>
                </c:pt>
              </c:strCache>
            </c:strRef>
          </c:cat>
          <c:val>
            <c:numRef>
              <c:f>정리결과!$B$4:$B$8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12</xdr:col>
      <xdr:colOff>562680</xdr:colOff>
      <xdr:row>18</xdr:row>
      <xdr:rowOff>30240</xdr:rowOff>
    </xdr:to>
    <xdr:graphicFrame>
      <xdr:nvGraphicFramePr>
        <xdr:cNvPr id="0" name="Chart 1"/>
        <xdr:cNvGraphicFramePr/>
      </xdr:nvGraphicFramePr>
      <xdr:xfrm>
        <a:off x="61322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125640</xdr:rowOff>
    </xdr:from>
    <xdr:to>
      <xdr:col>7</xdr:col>
      <xdr:colOff>395280</xdr:colOff>
      <xdr:row>15</xdr:row>
      <xdr:rowOff>132480</xdr:rowOff>
    </xdr:to>
    <xdr:graphicFrame>
      <xdr:nvGraphicFramePr>
        <xdr:cNvPr id="1" name="Chart 1"/>
        <xdr:cNvGraphicFramePr/>
      </xdr:nvGraphicFramePr>
      <xdr:xfrm>
        <a:off x="514548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6" min="3" style="0" width="12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15" hidden="false" customHeight="false" outlineLevel="0" collapsed="false">
      <c r="A2" s="2" t="s">
        <v>8</v>
      </c>
      <c r="B2" s="3" t="s">
        <v>9</v>
      </c>
      <c r="C2" s="4" t="s">
        <v>10</v>
      </c>
      <c r="D2" s="5" t="n">
        <v>831</v>
      </c>
      <c r="E2" s="6" t="n">
        <v>45850</v>
      </c>
      <c r="F2" s="7" t="s">
        <v>11</v>
      </c>
      <c r="G2" s="7"/>
      <c r="H2" s="2" t="s">
        <v>12</v>
      </c>
    </row>
    <row r="3" customFormat="false" ht="17.15" hidden="false" customHeight="false" outlineLevel="0" collapsed="false">
      <c r="A3" s="2" t="s">
        <v>8</v>
      </c>
      <c r="B3" s="2" t="s">
        <v>13</v>
      </c>
      <c r="C3" s="4" t="s">
        <v>14</v>
      </c>
      <c r="D3" s="5" t="n">
        <v>43.6</v>
      </c>
      <c r="E3" s="6" t="n">
        <v>46083</v>
      </c>
      <c r="F3" s="7" t="s">
        <v>11</v>
      </c>
      <c r="G3" s="7"/>
      <c r="H3" s="2" t="s">
        <v>15</v>
      </c>
    </row>
    <row r="4" customFormat="false" ht="17.15" hidden="false" customHeight="false" outlineLevel="0" collapsed="false">
      <c r="A4" s="2" t="s">
        <v>8</v>
      </c>
      <c r="B4" s="2" t="s">
        <v>16</v>
      </c>
      <c r="C4" s="4" t="s">
        <v>14</v>
      </c>
      <c r="D4" s="5" t="n">
        <v>23</v>
      </c>
      <c r="E4" s="6" t="n">
        <v>46161</v>
      </c>
      <c r="F4" s="7" t="s">
        <v>11</v>
      </c>
      <c r="G4" s="7"/>
      <c r="H4" s="2" t="s">
        <v>15</v>
      </c>
    </row>
    <row r="5" customFormat="false" ht="17.15" hidden="false" customHeight="false" outlineLevel="0" collapsed="false">
      <c r="A5" s="2" t="s">
        <v>17</v>
      </c>
      <c r="B5" s="3" t="s">
        <v>18</v>
      </c>
      <c r="C5" s="4" t="s">
        <v>19</v>
      </c>
      <c r="D5" s="5" t="n">
        <v>28.3</v>
      </c>
      <c r="E5" s="6" t="n">
        <v>45598</v>
      </c>
      <c r="F5" s="7" t="s">
        <v>20</v>
      </c>
      <c r="G5" s="7" t="s">
        <v>6</v>
      </c>
      <c r="H5" s="2" t="s">
        <v>21</v>
      </c>
    </row>
    <row r="6" customFormat="false" ht="17.15" hidden="false" customHeight="false" outlineLevel="0" collapsed="false">
      <c r="A6" s="2" t="s">
        <v>17</v>
      </c>
      <c r="B6" s="3" t="s">
        <v>22</v>
      </c>
      <c r="C6" s="4" t="s">
        <v>23</v>
      </c>
      <c r="D6" s="5" t="n">
        <v>5.1</v>
      </c>
      <c r="E6" s="6" t="n">
        <v>46213</v>
      </c>
      <c r="F6" s="7" t="s">
        <v>20</v>
      </c>
      <c r="G6" s="7"/>
      <c r="H6" s="2" t="s">
        <v>24</v>
      </c>
    </row>
    <row r="7" customFormat="false" ht="17.15" hidden="false" customHeight="false" outlineLevel="0" collapsed="false">
      <c r="A7" s="2" t="s">
        <v>25</v>
      </c>
      <c r="B7" s="3" t="s">
        <v>26</v>
      </c>
      <c r="C7" s="4" t="s">
        <v>19</v>
      </c>
      <c r="D7" s="5" t="n">
        <v>28.6</v>
      </c>
      <c r="E7" s="6" t="n">
        <v>45446</v>
      </c>
      <c r="F7" s="7" t="s">
        <v>11</v>
      </c>
      <c r="G7" s="7"/>
      <c r="H7" s="2" t="s">
        <v>27</v>
      </c>
    </row>
    <row r="8" customFormat="false" ht="17.15" hidden="false" customHeight="false" outlineLevel="0" collapsed="false">
      <c r="A8" s="2" t="s">
        <v>25</v>
      </c>
      <c r="B8" s="2" t="s">
        <v>28</v>
      </c>
      <c r="C8" s="4" t="s">
        <v>19</v>
      </c>
      <c r="D8" s="5" t="n">
        <v>27.4</v>
      </c>
      <c r="E8" s="6" t="n">
        <v>45184</v>
      </c>
      <c r="F8" s="7" t="s">
        <v>20</v>
      </c>
      <c r="G8" s="7" t="s">
        <v>6</v>
      </c>
      <c r="H8" s="2" t="s">
        <v>21</v>
      </c>
    </row>
    <row r="9" customFormat="false" ht="17.15" hidden="false" customHeight="false" outlineLevel="0" collapsed="false">
      <c r="A9" s="2" t="s">
        <v>25</v>
      </c>
      <c r="B9" s="2" t="s">
        <v>29</v>
      </c>
      <c r="C9" s="4" t="s">
        <v>19</v>
      </c>
      <c r="D9" s="5" t="n">
        <v>27</v>
      </c>
      <c r="E9" s="6" t="n">
        <v>45366</v>
      </c>
      <c r="F9" s="7" t="s">
        <v>20</v>
      </c>
      <c r="G9" s="7" t="s">
        <v>6</v>
      </c>
      <c r="H9" s="2" t="s">
        <v>30</v>
      </c>
    </row>
    <row r="10" customFormat="false" ht="17.15" hidden="false" customHeight="false" outlineLevel="0" collapsed="false">
      <c r="A10" s="2" t="s">
        <v>31</v>
      </c>
      <c r="B10" s="2" t="s">
        <v>32</v>
      </c>
      <c r="C10" s="4" t="s">
        <v>23</v>
      </c>
      <c r="D10" s="5" t="n">
        <v>5</v>
      </c>
      <c r="E10" s="6" t="n">
        <v>45698</v>
      </c>
      <c r="F10" s="7" t="s">
        <v>20</v>
      </c>
      <c r="G10" s="7"/>
      <c r="H10" s="2" t="s">
        <v>33</v>
      </c>
    </row>
    <row r="11" customFormat="false" ht="17.15" hidden="false" customHeight="false" outlineLevel="0" collapsed="false">
      <c r="A11" s="2" t="s">
        <v>31</v>
      </c>
      <c r="B11" s="2" t="s">
        <v>34</v>
      </c>
      <c r="C11" s="4" t="s">
        <v>19</v>
      </c>
      <c r="D11" s="5" t="n">
        <v>25.5</v>
      </c>
      <c r="E11" s="6" t="n">
        <v>45698</v>
      </c>
      <c r="F11" s="7" t="s">
        <v>20</v>
      </c>
      <c r="G11" s="7"/>
      <c r="H11" s="2" t="s">
        <v>33</v>
      </c>
    </row>
    <row r="12" customFormat="false" ht="17.15" hidden="false" customHeight="false" outlineLevel="0" collapsed="false">
      <c r="A12" s="2" t="s">
        <v>35</v>
      </c>
      <c r="B12" s="3" t="s">
        <v>36</v>
      </c>
      <c r="C12" s="4" t="s">
        <v>37</v>
      </c>
      <c r="D12" s="5" t="n">
        <v>6144</v>
      </c>
      <c r="E12" s="6" t="n">
        <v>45168</v>
      </c>
      <c r="F12" s="7" t="s">
        <v>38</v>
      </c>
      <c r="G12" s="7"/>
      <c r="H12" s="2" t="s">
        <v>39</v>
      </c>
    </row>
    <row r="13" customFormat="false" ht="17.15" hidden="false" customHeight="false" outlineLevel="0" collapsed="false">
      <c r="A13" s="2" t="s">
        <v>35</v>
      </c>
      <c r="B13" s="2" t="s">
        <v>40</v>
      </c>
      <c r="C13" s="4" t="s">
        <v>23</v>
      </c>
      <c r="D13" s="5" t="n">
        <v>7.1</v>
      </c>
      <c r="E13" s="6" t="n">
        <v>46022</v>
      </c>
      <c r="F13" s="7" t="s">
        <v>20</v>
      </c>
      <c r="G13" s="7" t="s">
        <v>6</v>
      </c>
      <c r="H13" s="2" t="s">
        <v>41</v>
      </c>
    </row>
    <row r="14" customFormat="false" ht="17.15" hidden="false" customHeight="false" outlineLevel="0" collapsed="false">
      <c r="A14" s="2" t="s">
        <v>35</v>
      </c>
      <c r="B14" s="2" t="s">
        <v>42</v>
      </c>
      <c r="C14" s="4" t="s">
        <v>19</v>
      </c>
      <c r="D14" s="5" t="n">
        <v>27.7</v>
      </c>
      <c r="E14" s="6" t="n">
        <v>45948</v>
      </c>
      <c r="F14" s="7" t="s">
        <v>20</v>
      </c>
      <c r="G14" s="7" t="s">
        <v>6</v>
      </c>
      <c r="H14" s="2" t="s">
        <v>21</v>
      </c>
    </row>
    <row r="15" customFormat="false" ht="17.15" hidden="false" customHeight="false" outlineLevel="0" collapsed="false">
      <c r="A15" s="2" t="s">
        <v>35</v>
      </c>
      <c r="B15" s="2" t="s">
        <v>43</v>
      </c>
      <c r="C15" s="4" t="s">
        <v>44</v>
      </c>
      <c r="D15" s="5" t="n">
        <v>31.5</v>
      </c>
      <c r="E15" s="6" t="n">
        <v>45966</v>
      </c>
      <c r="F15" s="7" t="s">
        <v>20</v>
      </c>
      <c r="G15" s="7"/>
      <c r="H15" s="2" t="s">
        <v>45</v>
      </c>
    </row>
    <row r="16" customFormat="false" ht="17.15" hidden="false" customHeight="false" outlineLevel="0" collapsed="false">
      <c r="A16" s="2" t="s">
        <v>35</v>
      </c>
      <c r="B16" s="2" t="s">
        <v>46</v>
      </c>
      <c r="C16" s="4" t="s">
        <v>44</v>
      </c>
      <c r="D16" s="5" t="n">
        <v>30.6</v>
      </c>
      <c r="E16" s="6" t="n">
        <v>45962</v>
      </c>
      <c r="F16" s="7" t="s">
        <v>38</v>
      </c>
      <c r="G16" s="7"/>
      <c r="H16" s="3" t="s">
        <v>47</v>
      </c>
    </row>
    <row r="17" customFormat="false" ht="17.15" hidden="false" customHeight="false" outlineLevel="0" collapsed="false">
      <c r="A17" s="2" t="s">
        <v>35</v>
      </c>
      <c r="B17" s="2" t="s">
        <v>48</v>
      </c>
      <c r="C17" s="4" t="s">
        <v>49</v>
      </c>
      <c r="D17" s="5" t="n">
        <v>0</v>
      </c>
      <c r="E17" s="6" t="n">
        <v>44958</v>
      </c>
      <c r="F17" s="7" t="s">
        <v>38</v>
      </c>
      <c r="G17" s="7"/>
      <c r="H17" s="2" t="s">
        <v>50</v>
      </c>
    </row>
    <row r="18" customFormat="false" ht="17.15" hidden="false" customHeight="false" outlineLevel="0" collapsed="false">
      <c r="A18" s="2" t="s">
        <v>35</v>
      </c>
      <c r="B18" s="2" t="s">
        <v>51</v>
      </c>
      <c r="C18" s="4" t="s">
        <v>52</v>
      </c>
      <c r="D18" s="5" t="n">
        <v>28</v>
      </c>
      <c r="E18" s="6" t="n">
        <v>45698</v>
      </c>
      <c r="F18" s="7" t="s">
        <v>38</v>
      </c>
      <c r="G18" s="7"/>
      <c r="H18" s="2" t="s">
        <v>53</v>
      </c>
    </row>
    <row r="19" customFormat="false" ht="17.15" hidden="false" customHeight="false" outlineLevel="0" collapsed="false">
      <c r="A19" s="2" t="s">
        <v>35</v>
      </c>
      <c r="B19" s="2" t="s">
        <v>54</v>
      </c>
      <c r="C19" s="4" t="s">
        <v>55</v>
      </c>
      <c r="D19" s="5" t="n">
        <v>36.1</v>
      </c>
      <c r="E19" s="6" t="n">
        <v>46269</v>
      </c>
      <c r="F19" s="7" t="s">
        <v>20</v>
      </c>
      <c r="G19" s="7"/>
      <c r="H19" s="2" t="s">
        <v>56</v>
      </c>
    </row>
    <row r="20" customFormat="false" ht="17.15" hidden="false" customHeight="false" outlineLevel="0" collapsed="false">
      <c r="A20" s="2" t="s">
        <v>35</v>
      </c>
      <c r="B20" s="2" t="s">
        <v>57</v>
      </c>
      <c r="C20" s="4" t="s">
        <v>55</v>
      </c>
      <c r="D20" s="5" t="n">
        <v>36.1</v>
      </c>
      <c r="E20" s="6" t="n">
        <v>46262</v>
      </c>
      <c r="F20" s="7" t="s">
        <v>38</v>
      </c>
      <c r="G20" s="7"/>
      <c r="H20" s="3" t="s">
        <v>58</v>
      </c>
    </row>
    <row r="21" customFormat="false" ht="17.15" hidden="false" customHeight="false" outlineLevel="0" collapsed="false">
      <c r="A21" s="2" t="s">
        <v>35</v>
      </c>
      <c r="B21" s="2" t="s">
        <v>59</v>
      </c>
      <c r="C21" s="4" t="s">
        <v>55</v>
      </c>
      <c r="D21" s="5" t="n">
        <v>36.1</v>
      </c>
      <c r="E21" s="6" t="n">
        <v>46262</v>
      </c>
      <c r="F21" s="7" t="s">
        <v>20</v>
      </c>
      <c r="G21" s="7"/>
      <c r="H21" s="2" t="s">
        <v>60</v>
      </c>
    </row>
    <row r="22" customFormat="false" ht="17.15" hidden="false" customHeight="false" outlineLevel="0" collapsed="false">
      <c r="A22" s="2" t="s">
        <v>35</v>
      </c>
      <c r="B22" s="2" t="s">
        <v>61</v>
      </c>
      <c r="C22" s="4" t="s">
        <v>55</v>
      </c>
      <c r="D22" s="5" t="n">
        <v>36.2</v>
      </c>
      <c r="E22" s="6" t="n">
        <v>46263</v>
      </c>
      <c r="F22" s="7" t="s">
        <v>20</v>
      </c>
      <c r="G22" s="7"/>
      <c r="H22" s="2" t="s">
        <v>62</v>
      </c>
    </row>
    <row r="23" customFormat="false" ht="17.15" hidden="false" customHeight="false" outlineLevel="0" collapsed="false">
      <c r="A23" s="2" t="s">
        <v>63</v>
      </c>
      <c r="B23" s="2" t="s">
        <v>64</v>
      </c>
      <c r="C23" s="4" t="s">
        <v>19</v>
      </c>
      <c r="D23" s="5" t="n">
        <v>26</v>
      </c>
      <c r="E23" s="6" t="n">
        <v>46042</v>
      </c>
      <c r="F23" s="7" t="s">
        <v>20</v>
      </c>
      <c r="G23" s="7" t="s">
        <v>6</v>
      </c>
      <c r="H23" s="2" t="s">
        <v>65</v>
      </c>
    </row>
    <row r="24" customFormat="false" ht="17.15" hidden="false" customHeight="false" outlineLevel="0" collapsed="false">
      <c r="A24" s="2" t="s">
        <v>63</v>
      </c>
      <c r="B24" s="2" t="s">
        <v>66</v>
      </c>
      <c r="C24" s="4" t="s">
        <v>14</v>
      </c>
      <c r="D24" s="5" t="n">
        <v>28.9</v>
      </c>
      <c r="E24" s="6" t="n">
        <v>45818</v>
      </c>
      <c r="F24" s="7" t="s">
        <v>11</v>
      </c>
      <c r="G24" s="7"/>
      <c r="H2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3"/>
  </cols>
  <sheetData>
    <row r="1" customFormat="false" ht="16.15" hidden="false" customHeight="false" outlineLevel="0" collapsed="false">
      <c r="A1" s="8" t="s">
        <v>68</v>
      </c>
    </row>
    <row r="3" customFormat="false" ht="17.15" hidden="false" customHeight="false" outlineLevel="0" collapsed="false">
      <c r="A3" s="1" t="s">
        <v>2</v>
      </c>
      <c r="B3" s="1" t="s">
        <v>69</v>
      </c>
      <c r="C3" s="1" t="s">
        <v>70</v>
      </c>
    </row>
    <row r="4" customFormat="false" ht="15" hidden="false" customHeight="false" outlineLevel="0" collapsed="false">
      <c r="A4" s="3" t="s">
        <v>55</v>
      </c>
      <c r="B4" s="7" t="n">
        <f aca="false">COUNTIF(목록!$C$2:$C$24,A4)</f>
        <v>4</v>
      </c>
      <c r="C4" s="5" t="n">
        <f aca="false">ROUND(SUMIF(목록!$C$2:$C$24,A4,목록!$D$2:$D$24),1)</f>
        <v>144.5</v>
      </c>
    </row>
    <row r="5" customFormat="false" ht="15" hidden="false" customHeight="false" outlineLevel="0" collapsed="false">
      <c r="A5" s="3" t="s">
        <v>37</v>
      </c>
      <c r="B5" s="7" t="n">
        <f aca="false">COUNTIF(목록!$C$2:$C$24,A5)</f>
        <v>1</v>
      </c>
      <c r="C5" s="5" t="n">
        <f aca="false">ROUND(SUMIF(목록!$C$2:$C$24,A5,목록!$D$2:$D$24),1)</f>
        <v>6144</v>
      </c>
    </row>
    <row r="6" customFormat="false" ht="15" hidden="false" customHeight="false" outlineLevel="0" collapsed="false">
      <c r="A6" s="3" t="s">
        <v>10</v>
      </c>
      <c r="B6" s="7" t="n">
        <f aca="false">COUNTIF(목록!$C$2:$C$24,A6)</f>
        <v>1</v>
      </c>
      <c r="C6" s="5" t="n">
        <f aca="false">ROUND(SUMIF(목록!$C$2:$C$24,A6,목록!$D$2:$D$24),1)</f>
        <v>831</v>
      </c>
    </row>
    <row r="7" customFormat="false" ht="15" hidden="false" customHeight="false" outlineLevel="0" collapsed="false">
      <c r="A7" s="3" t="s">
        <v>19</v>
      </c>
      <c r="B7" s="7" t="n">
        <f aca="false">COUNTIF(목록!$C$2:$C$24,A7)</f>
        <v>7</v>
      </c>
      <c r="C7" s="5" t="n">
        <f aca="false">ROUND(SUMIF(목록!$C$2:$C$24,A7,목록!$D$2:$D$24),1)</f>
        <v>190.5</v>
      </c>
    </row>
    <row r="8" customFormat="false" ht="15" hidden="false" customHeight="false" outlineLevel="0" collapsed="false">
      <c r="A8" s="3" t="s">
        <v>14</v>
      </c>
      <c r="B8" s="7" t="n">
        <f aca="false">COUNTIF(목록!$C$2:$C$24,A8)</f>
        <v>3</v>
      </c>
      <c r="C8" s="5" t="n">
        <f aca="false">ROUND(SUMIF(목록!$C$2:$C$24,A8,목록!$D$2:$D$24),1)</f>
        <v>95.5</v>
      </c>
    </row>
    <row r="9" customFormat="false" ht="15" hidden="false" customHeight="false" outlineLevel="0" collapsed="false">
      <c r="A9" s="3" t="s">
        <v>44</v>
      </c>
      <c r="B9" s="7" t="n">
        <f aca="false">COUNTIF(목록!$C$2:$C$24,A9)</f>
        <v>2</v>
      </c>
      <c r="C9" s="5" t="n">
        <f aca="false">ROUND(SUMIF(목록!$C$2:$C$24,A9,목록!$D$2:$D$24),1)</f>
        <v>62.1</v>
      </c>
    </row>
    <row r="10" customFormat="false" ht="15" hidden="false" customHeight="false" outlineLevel="0" collapsed="false">
      <c r="A10" s="3" t="s">
        <v>49</v>
      </c>
      <c r="B10" s="7" t="n">
        <f aca="false">COUNTIF(목록!$C$2:$C$24,A10)</f>
        <v>1</v>
      </c>
      <c r="C10" s="5" t="n">
        <f aca="false">ROUND(SUMIF(목록!$C$2:$C$24,A10,목록!$D$2:$D$24),1)</f>
        <v>0</v>
      </c>
    </row>
    <row r="11" customFormat="false" ht="15" hidden="false" customHeight="false" outlineLevel="0" collapsed="false">
      <c r="A11" s="3" t="s">
        <v>23</v>
      </c>
      <c r="B11" s="7" t="n">
        <f aca="false">COUNTIF(목록!$C$2:$C$24,A11)</f>
        <v>3</v>
      </c>
      <c r="C11" s="5" t="n">
        <f aca="false">ROUND(SUMIF(목록!$C$2:$C$24,A11,목록!$D$2:$D$24),1)</f>
        <v>17.2</v>
      </c>
    </row>
    <row r="12" customFormat="false" ht="15" hidden="false" customHeight="false" outlineLevel="0" collapsed="false">
      <c r="A12" s="3" t="s">
        <v>52</v>
      </c>
      <c r="B12" s="7" t="n">
        <f aca="false">COUNTIF(목록!$C$2:$C$24,A12)</f>
        <v>1</v>
      </c>
      <c r="C12" s="5" t="n">
        <f aca="false">ROUND(SUMIF(목록!$C$2:$C$24,A12,목록!$D$2:$D$24),1)</f>
        <v>28</v>
      </c>
    </row>
    <row r="13" customFormat="false" ht="15" hidden="false" customHeight="false" outlineLevel="0" collapsed="false">
      <c r="A13" s="9" t="s">
        <v>71</v>
      </c>
      <c r="B13" s="10" t="n">
        <f aca="false">SUM(B4:B12)</f>
        <v>23</v>
      </c>
      <c r="C13" s="11" t="n">
        <f aca="false">ROUND(SUM(C4:C12),1)</f>
        <v>7512.8</v>
      </c>
    </row>
    <row r="16" customFormat="false" ht="20.1" hidden="false" customHeight="false" outlineLevel="0" collapsed="false">
      <c r="A16" s="8" t="s">
        <v>72</v>
      </c>
    </row>
    <row r="17" customFormat="false" ht="17.15" hidden="false" customHeight="false" outlineLevel="0" collapsed="false">
      <c r="A17" s="1" t="s">
        <v>1</v>
      </c>
      <c r="B17" s="1" t="s">
        <v>0</v>
      </c>
      <c r="C17" s="1" t="s">
        <v>3</v>
      </c>
      <c r="D17" s="1" t="s">
        <v>4</v>
      </c>
    </row>
    <row r="18" customFormat="false" ht="17.15" hidden="false" customHeight="false" outlineLevel="0" collapsed="false">
      <c r="A18" s="3" t="s">
        <v>36</v>
      </c>
      <c r="B18" s="2" t="s">
        <v>35</v>
      </c>
      <c r="C18" s="5" t="n">
        <v>6144</v>
      </c>
      <c r="D18" s="6" t="n">
        <v>45168</v>
      </c>
    </row>
    <row r="19" customFormat="false" ht="15" hidden="false" customHeight="false" outlineLevel="0" collapsed="false">
      <c r="A19" s="3" t="s">
        <v>9</v>
      </c>
      <c r="B19" s="2" t="s">
        <v>8</v>
      </c>
      <c r="C19" s="5" t="n">
        <v>831</v>
      </c>
      <c r="D19" s="6" t="n">
        <v>45850</v>
      </c>
    </row>
    <row r="20" customFormat="false" ht="17.15" hidden="false" customHeight="false" outlineLevel="0" collapsed="false">
      <c r="A20" s="2" t="s">
        <v>13</v>
      </c>
      <c r="B20" s="2" t="s">
        <v>8</v>
      </c>
      <c r="C20" s="5" t="n">
        <v>43.6</v>
      </c>
      <c r="D20" s="6" t="n">
        <v>46083</v>
      </c>
    </row>
    <row r="21" customFormat="false" ht="17.15" hidden="false" customHeight="false" outlineLevel="0" collapsed="false">
      <c r="A21" s="2" t="s">
        <v>61</v>
      </c>
      <c r="B21" s="2" t="s">
        <v>35</v>
      </c>
      <c r="C21" s="5" t="n">
        <v>36.2</v>
      </c>
      <c r="D21" s="6" t="n">
        <v>46263</v>
      </c>
    </row>
    <row r="22" customFormat="false" ht="17.15" hidden="false" customHeight="false" outlineLevel="0" collapsed="false">
      <c r="A22" s="2" t="s">
        <v>57</v>
      </c>
      <c r="B22" s="2" t="s">
        <v>35</v>
      </c>
      <c r="C22" s="5" t="n">
        <v>36.1</v>
      </c>
      <c r="D22" s="6" t="n">
        <v>46262</v>
      </c>
    </row>
    <row r="25" customFormat="false" ht="20.1" hidden="false" customHeight="false" outlineLevel="0" collapsed="false">
      <c r="A25" s="12" t="s">
        <v>73</v>
      </c>
    </row>
    <row r="26" customFormat="false" ht="17.15" hidden="false" customHeight="false" outlineLevel="0" collapsed="false">
      <c r="A26" s="1" t="s">
        <v>1</v>
      </c>
      <c r="B26" s="1" t="s">
        <v>0</v>
      </c>
      <c r="C26" s="1" t="s">
        <v>3</v>
      </c>
      <c r="D26" s="1" t="s">
        <v>4</v>
      </c>
      <c r="E26" s="1" t="s">
        <v>74</v>
      </c>
    </row>
    <row r="27" customFormat="false" ht="17.15" hidden="false" customHeight="false" outlineLevel="0" collapsed="false">
      <c r="A27" s="2" t="s">
        <v>48</v>
      </c>
      <c r="B27" s="2" t="s">
        <v>35</v>
      </c>
      <c r="C27" s="5" t="n">
        <v>0</v>
      </c>
      <c r="D27" s="6" t="n">
        <v>44958</v>
      </c>
      <c r="E27" s="13" t="n">
        <f aca="false">DATE(2026,9,14)-D27</f>
        <v>1321</v>
      </c>
    </row>
    <row r="28" customFormat="false" ht="17.15" hidden="false" customHeight="false" outlineLevel="0" collapsed="false">
      <c r="A28" s="3" t="s">
        <v>36</v>
      </c>
      <c r="B28" s="2" t="s">
        <v>35</v>
      </c>
      <c r="C28" s="5" t="n">
        <v>6144</v>
      </c>
      <c r="D28" s="6" t="n">
        <v>45168</v>
      </c>
      <c r="E28" s="13" t="n">
        <f aca="false">DATE(2026,9,14)-D28</f>
        <v>1111</v>
      </c>
    </row>
    <row r="29" customFormat="false" ht="17.15" hidden="false" customHeight="false" outlineLevel="0" collapsed="false">
      <c r="A29" s="2" t="s">
        <v>28</v>
      </c>
      <c r="B29" s="2" t="s">
        <v>25</v>
      </c>
      <c r="C29" s="5" t="n">
        <v>27.4</v>
      </c>
      <c r="D29" s="6" t="n">
        <v>45184</v>
      </c>
      <c r="E29" s="13" t="n">
        <f aca="false">DATE(2026,9,14)-D29</f>
        <v>1095</v>
      </c>
    </row>
    <row r="30" customFormat="false" ht="17.15" hidden="false" customHeight="false" outlineLevel="0" collapsed="false">
      <c r="A30" s="2" t="s">
        <v>29</v>
      </c>
      <c r="B30" s="2" t="s">
        <v>25</v>
      </c>
      <c r="C30" s="5" t="n">
        <v>27</v>
      </c>
      <c r="D30" s="6" t="n">
        <v>45366</v>
      </c>
      <c r="E30" s="13" t="n">
        <f aca="false">DATE(2026,9,14)-D30</f>
        <v>913</v>
      </c>
    </row>
    <row r="31" customFormat="false" ht="15" hidden="false" customHeight="false" outlineLevel="0" collapsed="false">
      <c r="A31" s="3" t="s">
        <v>26</v>
      </c>
      <c r="B31" s="2" t="s">
        <v>25</v>
      </c>
      <c r="C31" s="5" t="n">
        <v>28.6</v>
      </c>
      <c r="D31" s="6" t="n">
        <v>45446</v>
      </c>
      <c r="E31" s="13" t="n">
        <f aca="false">DATE(2026,9,14)-D31</f>
        <v>833</v>
      </c>
    </row>
    <row r="32" customFormat="false" ht="17.15" hidden="false" customHeight="false" outlineLevel="0" collapsed="false">
      <c r="A32" s="3" t="s">
        <v>18</v>
      </c>
      <c r="B32" s="2" t="s">
        <v>17</v>
      </c>
      <c r="C32" s="5" t="n">
        <v>28.3</v>
      </c>
      <c r="D32" s="6" t="n">
        <v>45598</v>
      </c>
      <c r="E32" s="13" t="n">
        <f aca="false">DATE(2026,9,14)-D32</f>
        <v>681</v>
      </c>
    </row>
    <row r="33" customFormat="false" ht="17.15" hidden="false" customHeight="false" outlineLevel="0" collapsed="false">
      <c r="A33" s="2" t="s">
        <v>51</v>
      </c>
      <c r="B33" s="2" t="s">
        <v>35</v>
      </c>
      <c r="C33" s="5" t="n">
        <v>28</v>
      </c>
      <c r="D33" s="6" t="n">
        <v>45698</v>
      </c>
      <c r="E33" s="13" t="n">
        <f aca="false">DATE(2026,9,14)-D33</f>
        <v>581</v>
      </c>
    </row>
    <row r="34" customFormat="false" ht="17.15" hidden="false" customHeight="false" outlineLevel="0" collapsed="false">
      <c r="A34" s="2" t="s">
        <v>32</v>
      </c>
      <c r="B34" s="2" t="s">
        <v>31</v>
      </c>
      <c r="C34" s="5" t="n">
        <v>5</v>
      </c>
      <c r="D34" s="6" t="n">
        <v>45698</v>
      </c>
      <c r="E34" s="13" t="n">
        <f aca="false">DATE(2026,9,14)-D34</f>
        <v>581</v>
      </c>
    </row>
    <row r="35" customFormat="false" ht="17.15" hidden="false" customHeight="false" outlineLevel="0" collapsed="false">
      <c r="A35" s="2" t="s">
        <v>34</v>
      </c>
      <c r="B35" s="2" t="s">
        <v>31</v>
      </c>
      <c r="C35" s="5" t="n">
        <v>25.5</v>
      </c>
      <c r="D35" s="6" t="n">
        <v>45698</v>
      </c>
      <c r="E35" s="13" t="n">
        <f aca="false">DATE(2026,9,14)-D35</f>
        <v>581</v>
      </c>
    </row>
    <row r="36" customFormat="false" ht="17.15" hidden="false" customHeight="false" outlineLevel="0" collapsed="false">
      <c r="A36" s="2" t="s">
        <v>66</v>
      </c>
      <c r="B36" s="2" t="s">
        <v>63</v>
      </c>
      <c r="C36" s="5" t="n">
        <v>28.9</v>
      </c>
      <c r="D36" s="6" t="n">
        <v>45818</v>
      </c>
      <c r="E36" s="13" t="n">
        <f aca="false">DATE(2026,9,14)-D36</f>
        <v>461</v>
      </c>
    </row>
    <row r="37" customFormat="false" ht="15" hidden="false" customHeight="false" outlineLevel="0" collapsed="false">
      <c r="A37" s="3" t="s">
        <v>9</v>
      </c>
      <c r="B37" s="2" t="s">
        <v>8</v>
      </c>
      <c r="C37" s="5" t="n">
        <v>831</v>
      </c>
      <c r="D37" s="6" t="n">
        <v>45850</v>
      </c>
      <c r="E37" s="13" t="n">
        <f aca="false">DATE(2026,9,14)-D37</f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3"/>
  </cols>
  <sheetData>
    <row r="1" customFormat="false" ht="20.1" hidden="false" customHeight="false" outlineLevel="0" collapsed="false">
      <c r="A1" s="8" t="s">
        <v>75</v>
      </c>
    </row>
    <row r="3" customFormat="false" ht="17.15" hidden="false" customHeight="false" outlineLevel="0" collapsed="false">
      <c r="A3" s="1" t="s">
        <v>17</v>
      </c>
      <c r="B3" s="1" t="s">
        <v>76</v>
      </c>
      <c r="C3" s="1" t="s">
        <v>70</v>
      </c>
    </row>
    <row r="4" customFormat="false" ht="17.15" hidden="false" customHeight="false" outlineLevel="0" collapsed="false">
      <c r="A4" s="3" t="s">
        <v>77</v>
      </c>
      <c r="B4" s="7" t="n">
        <v>5</v>
      </c>
      <c r="C4" s="5" t="n">
        <v>955.1</v>
      </c>
    </row>
    <row r="5" customFormat="false" ht="17.15" hidden="false" customHeight="false" outlineLevel="0" collapsed="false">
      <c r="A5" s="3" t="s">
        <v>78</v>
      </c>
      <c r="B5" s="7" t="n">
        <v>7</v>
      </c>
      <c r="C5" s="5" t="n">
        <v>175.5</v>
      </c>
    </row>
    <row r="6" customFormat="false" ht="17.15" hidden="false" customHeight="false" outlineLevel="0" collapsed="false">
      <c r="A6" s="3" t="s">
        <v>79</v>
      </c>
      <c r="B6" s="7" t="n">
        <v>0</v>
      </c>
      <c r="C6" s="5" t="n">
        <v>0</v>
      </c>
    </row>
    <row r="7" customFormat="false" ht="17.15" hidden="false" customHeight="false" outlineLevel="0" collapsed="false">
      <c r="A7" s="3" t="s">
        <v>80</v>
      </c>
      <c r="B7" s="7" t="n">
        <v>6</v>
      </c>
      <c r="C7" s="5" t="n">
        <v>143.5</v>
      </c>
    </row>
    <row r="8" customFormat="false" ht="17.15" hidden="false" customHeight="false" outlineLevel="0" collapsed="false">
      <c r="A8" s="3" t="s">
        <v>81</v>
      </c>
      <c r="B8" s="7" t="n">
        <v>5</v>
      </c>
      <c r="C8" s="5" t="n">
        <v>6238.7</v>
      </c>
    </row>
    <row r="9" customFormat="false" ht="15" hidden="false" customHeight="false" outlineLevel="0" collapsed="false">
      <c r="A9" s="9" t="s">
        <v>71</v>
      </c>
      <c r="B9" s="10" t="n">
        <f aca="false">SUM(B4:B8)</f>
        <v>23</v>
      </c>
      <c r="C9" s="11" t="n">
        <f aca="false">ROUND(SUM(C4:C8),1)</f>
        <v>7512.8</v>
      </c>
    </row>
    <row r="10" customFormat="false" ht="15" hidden="false" customHeight="false" outlineLevel="0" collapsed="false">
      <c r="A10" s="14" t="s">
        <v>82</v>
      </c>
    </row>
    <row r="13" customFormat="false" ht="16.15" hidden="false" customHeight="false" outlineLevel="0" collapsed="false">
      <c r="A13" s="8" t="s">
        <v>83</v>
      </c>
    </row>
    <row r="14" customFormat="false" ht="15" hidden="false" customHeight="false" outlineLevel="0" collapsed="false">
      <c r="A14" s="1" t="s">
        <v>84</v>
      </c>
      <c r="B14" s="1" t="s">
        <v>85</v>
      </c>
      <c r="C14" s="1" t="s">
        <v>5</v>
      </c>
      <c r="D14" s="1" t="s">
        <v>17</v>
      </c>
      <c r="E14" s="1" t="s">
        <v>86</v>
      </c>
      <c r="F14" s="1" t="s">
        <v>87</v>
      </c>
    </row>
    <row r="15" customFormat="false" ht="17.15" hidden="false" customHeight="false" outlineLevel="0" collapsed="false">
      <c r="A15" s="2" t="s">
        <v>8</v>
      </c>
      <c r="B15" s="3" t="s">
        <v>9</v>
      </c>
      <c r="C15" s="7" t="s">
        <v>11</v>
      </c>
      <c r="D15" s="4" t="s">
        <v>77</v>
      </c>
      <c r="E15" s="3" t="s">
        <v>9</v>
      </c>
      <c r="F15" s="4" t="s">
        <v>88</v>
      </c>
    </row>
    <row r="16" customFormat="false" ht="17.15" hidden="false" customHeight="false" outlineLevel="0" collapsed="false">
      <c r="A16" s="2" t="s">
        <v>25</v>
      </c>
      <c r="B16" s="3" t="s">
        <v>26</v>
      </c>
      <c r="C16" s="7" t="s">
        <v>11</v>
      </c>
      <c r="D16" s="4" t="s">
        <v>77</v>
      </c>
      <c r="E16" s="3" t="s">
        <v>26</v>
      </c>
      <c r="F16" s="4" t="s">
        <v>88</v>
      </c>
    </row>
    <row r="17" customFormat="false" ht="17.15" hidden="false" customHeight="false" outlineLevel="0" collapsed="false">
      <c r="A17" s="2" t="s">
        <v>8</v>
      </c>
      <c r="B17" s="2" t="s">
        <v>13</v>
      </c>
      <c r="C17" s="7" t="s">
        <v>11</v>
      </c>
      <c r="D17" s="4" t="s">
        <v>77</v>
      </c>
      <c r="E17" s="2" t="s">
        <v>13</v>
      </c>
      <c r="F17" s="4" t="s">
        <v>88</v>
      </c>
    </row>
    <row r="18" customFormat="false" ht="17.15" hidden="false" customHeight="false" outlineLevel="0" collapsed="false">
      <c r="A18" s="2" t="s">
        <v>8</v>
      </c>
      <c r="B18" s="2" t="s">
        <v>16</v>
      </c>
      <c r="C18" s="7" t="s">
        <v>11</v>
      </c>
      <c r="D18" s="4" t="s">
        <v>77</v>
      </c>
      <c r="E18" s="2" t="s">
        <v>16</v>
      </c>
      <c r="F18" s="4" t="s">
        <v>88</v>
      </c>
    </row>
    <row r="19" customFormat="false" ht="17.15" hidden="false" customHeight="false" outlineLevel="0" collapsed="false">
      <c r="A19" s="2" t="s">
        <v>63</v>
      </c>
      <c r="B19" s="2" t="s">
        <v>66</v>
      </c>
      <c r="C19" s="7" t="s">
        <v>11</v>
      </c>
      <c r="D19" s="4" t="s">
        <v>77</v>
      </c>
      <c r="E19" s="2" t="s">
        <v>66</v>
      </c>
      <c r="F19" s="4" t="s">
        <v>88</v>
      </c>
    </row>
    <row r="20" customFormat="false" ht="17.15" hidden="false" customHeight="false" outlineLevel="0" collapsed="false">
      <c r="A20" s="2" t="s">
        <v>31</v>
      </c>
      <c r="B20" s="2" t="s">
        <v>32</v>
      </c>
      <c r="C20" s="7" t="s">
        <v>89</v>
      </c>
      <c r="D20" s="4" t="s">
        <v>78</v>
      </c>
      <c r="E20" s="3" t="s">
        <v>90</v>
      </c>
      <c r="F20" s="7" t="s">
        <v>91</v>
      </c>
    </row>
    <row r="21" customFormat="false" ht="17.15" hidden="false" customHeight="false" outlineLevel="0" collapsed="false">
      <c r="A21" s="2" t="s">
        <v>31</v>
      </c>
      <c r="B21" s="2" t="s">
        <v>34</v>
      </c>
      <c r="C21" s="7" t="s">
        <v>89</v>
      </c>
      <c r="D21" s="4" t="s">
        <v>78</v>
      </c>
      <c r="E21" s="3" t="s">
        <v>92</v>
      </c>
      <c r="F21" s="7" t="s">
        <v>91</v>
      </c>
    </row>
    <row r="22" customFormat="false" ht="17.15" hidden="false" customHeight="false" outlineLevel="0" collapsed="false">
      <c r="A22" s="2" t="s">
        <v>35</v>
      </c>
      <c r="B22" s="2" t="s">
        <v>43</v>
      </c>
      <c r="C22" s="7" t="s">
        <v>89</v>
      </c>
      <c r="D22" s="4" t="s">
        <v>78</v>
      </c>
      <c r="E22" s="3" t="s">
        <v>93</v>
      </c>
      <c r="F22" s="7" t="s">
        <v>91</v>
      </c>
    </row>
    <row r="23" customFormat="false" ht="17.15" hidden="false" customHeight="false" outlineLevel="0" collapsed="false">
      <c r="A23" s="2" t="s">
        <v>17</v>
      </c>
      <c r="B23" s="3" t="s">
        <v>22</v>
      </c>
      <c r="C23" s="7" t="s">
        <v>89</v>
      </c>
      <c r="D23" s="4" t="s">
        <v>78</v>
      </c>
      <c r="E23" s="3" t="s">
        <v>94</v>
      </c>
      <c r="F23" s="7" t="s">
        <v>91</v>
      </c>
    </row>
    <row r="24" customFormat="false" ht="17.15" hidden="false" customHeight="false" outlineLevel="0" collapsed="false">
      <c r="A24" s="2" t="s">
        <v>35</v>
      </c>
      <c r="B24" s="2" t="s">
        <v>59</v>
      </c>
      <c r="C24" s="7" t="s">
        <v>89</v>
      </c>
      <c r="D24" s="4" t="s">
        <v>78</v>
      </c>
      <c r="E24" s="3" t="s">
        <v>95</v>
      </c>
      <c r="F24" s="7" t="s">
        <v>91</v>
      </c>
    </row>
    <row r="25" customFormat="false" ht="17.15" hidden="false" customHeight="false" outlineLevel="0" collapsed="false">
      <c r="A25" s="2" t="s">
        <v>35</v>
      </c>
      <c r="B25" s="2" t="s">
        <v>61</v>
      </c>
      <c r="C25" s="7" t="s">
        <v>89</v>
      </c>
      <c r="D25" s="4" t="s">
        <v>78</v>
      </c>
      <c r="E25" s="3" t="s">
        <v>96</v>
      </c>
      <c r="F25" s="7" t="s">
        <v>91</v>
      </c>
    </row>
    <row r="26" customFormat="false" ht="17.15" hidden="false" customHeight="false" outlineLevel="0" collapsed="false">
      <c r="A26" s="2" t="s">
        <v>35</v>
      </c>
      <c r="B26" s="2" t="s">
        <v>54</v>
      </c>
      <c r="C26" s="7" t="s">
        <v>89</v>
      </c>
      <c r="D26" s="4" t="s">
        <v>78</v>
      </c>
      <c r="E26" s="3" t="s">
        <v>97</v>
      </c>
      <c r="F26" s="7" t="s">
        <v>91</v>
      </c>
    </row>
    <row r="27" customFormat="false" ht="17.15" hidden="false" customHeight="false" outlineLevel="0" collapsed="false">
      <c r="A27" s="2" t="s">
        <v>25</v>
      </c>
      <c r="B27" s="2" t="s">
        <v>28</v>
      </c>
      <c r="C27" s="7" t="s">
        <v>98</v>
      </c>
      <c r="D27" s="4" t="s">
        <v>80</v>
      </c>
      <c r="E27" s="3" t="s">
        <v>99</v>
      </c>
      <c r="F27" s="7" t="s">
        <v>91</v>
      </c>
    </row>
    <row r="28" customFormat="false" ht="17.15" hidden="false" customHeight="false" outlineLevel="0" collapsed="false">
      <c r="A28" s="2" t="s">
        <v>25</v>
      </c>
      <c r="B28" s="2" t="s">
        <v>29</v>
      </c>
      <c r="C28" s="7" t="s">
        <v>98</v>
      </c>
      <c r="D28" s="4" t="s">
        <v>80</v>
      </c>
      <c r="E28" s="3" t="s">
        <v>100</v>
      </c>
      <c r="F28" s="7" t="s">
        <v>91</v>
      </c>
    </row>
    <row r="29" customFormat="false" ht="17.15" hidden="false" customHeight="false" outlineLevel="0" collapsed="false">
      <c r="A29" s="2" t="s">
        <v>17</v>
      </c>
      <c r="B29" s="3" t="s">
        <v>18</v>
      </c>
      <c r="C29" s="7" t="s">
        <v>98</v>
      </c>
      <c r="D29" s="4" t="s">
        <v>80</v>
      </c>
      <c r="E29" s="3" t="s">
        <v>101</v>
      </c>
      <c r="F29" s="7" t="s">
        <v>91</v>
      </c>
    </row>
    <row r="30" customFormat="false" ht="17.15" hidden="false" customHeight="false" outlineLevel="0" collapsed="false">
      <c r="A30" s="2" t="s">
        <v>35</v>
      </c>
      <c r="B30" s="2" t="s">
        <v>40</v>
      </c>
      <c r="C30" s="7" t="s">
        <v>98</v>
      </c>
      <c r="D30" s="4" t="s">
        <v>80</v>
      </c>
      <c r="E30" s="3" t="s">
        <v>102</v>
      </c>
      <c r="F30" s="7" t="s">
        <v>91</v>
      </c>
    </row>
    <row r="31" customFormat="false" ht="17.15" hidden="false" customHeight="false" outlineLevel="0" collapsed="false">
      <c r="A31" s="2" t="s">
        <v>35</v>
      </c>
      <c r="B31" s="2" t="s">
        <v>42</v>
      </c>
      <c r="C31" s="7" t="s">
        <v>98</v>
      </c>
      <c r="D31" s="4" t="s">
        <v>80</v>
      </c>
      <c r="E31" s="3" t="s">
        <v>103</v>
      </c>
      <c r="F31" s="7" t="s">
        <v>91</v>
      </c>
    </row>
    <row r="32" customFormat="false" ht="17.15" hidden="false" customHeight="false" outlineLevel="0" collapsed="false">
      <c r="A32" s="2" t="s">
        <v>63</v>
      </c>
      <c r="B32" s="2" t="s">
        <v>64</v>
      </c>
      <c r="C32" s="7" t="s">
        <v>98</v>
      </c>
      <c r="D32" s="4" t="s">
        <v>80</v>
      </c>
      <c r="E32" s="3" t="s">
        <v>104</v>
      </c>
      <c r="F32" s="7" t="s">
        <v>91</v>
      </c>
    </row>
    <row r="33" customFormat="false" ht="17.15" hidden="false" customHeight="false" outlineLevel="0" collapsed="false">
      <c r="A33" s="2" t="s">
        <v>35</v>
      </c>
      <c r="B33" s="3" t="s">
        <v>36</v>
      </c>
      <c r="C33" s="7" t="s">
        <v>38</v>
      </c>
      <c r="D33" s="4" t="s">
        <v>81</v>
      </c>
      <c r="E33" s="3" t="s">
        <v>36</v>
      </c>
      <c r="F33" s="4" t="s">
        <v>88</v>
      </c>
    </row>
    <row r="34" customFormat="false" ht="17.15" hidden="false" customHeight="false" outlineLevel="0" collapsed="false">
      <c r="A34" s="2" t="s">
        <v>35</v>
      </c>
      <c r="B34" s="2" t="s">
        <v>46</v>
      </c>
      <c r="C34" s="7" t="s">
        <v>38</v>
      </c>
      <c r="D34" s="4" t="s">
        <v>81</v>
      </c>
      <c r="E34" s="2" t="s">
        <v>46</v>
      </c>
      <c r="F34" s="4" t="s">
        <v>88</v>
      </c>
    </row>
    <row r="35" customFormat="false" ht="17.15" hidden="false" customHeight="false" outlineLevel="0" collapsed="false">
      <c r="A35" s="2" t="s">
        <v>35</v>
      </c>
      <c r="B35" s="2" t="s">
        <v>48</v>
      </c>
      <c r="C35" s="7" t="s">
        <v>38</v>
      </c>
      <c r="D35" s="4" t="s">
        <v>81</v>
      </c>
      <c r="E35" s="2" t="s">
        <v>48</v>
      </c>
      <c r="F35" s="4" t="s">
        <v>88</v>
      </c>
    </row>
    <row r="36" customFormat="false" ht="17.15" hidden="false" customHeight="false" outlineLevel="0" collapsed="false">
      <c r="A36" s="2" t="s">
        <v>35</v>
      </c>
      <c r="B36" s="2" t="s">
        <v>51</v>
      </c>
      <c r="C36" s="7" t="s">
        <v>38</v>
      </c>
      <c r="D36" s="4" t="s">
        <v>81</v>
      </c>
      <c r="E36" s="2" t="s">
        <v>51</v>
      </c>
      <c r="F36" s="4" t="s">
        <v>88</v>
      </c>
    </row>
    <row r="37" customFormat="false" ht="17.15" hidden="false" customHeight="false" outlineLevel="0" collapsed="false">
      <c r="A37" s="2" t="s">
        <v>35</v>
      </c>
      <c r="B37" s="2" t="s">
        <v>57</v>
      </c>
      <c r="C37" s="7" t="s">
        <v>38</v>
      </c>
      <c r="D37" s="4" t="s">
        <v>81</v>
      </c>
      <c r="E37" s="2" t="s">
        <v>57</v>
      </c>
      <c r="F37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2026-09-14T07:14:50Z</dcterms:created>
  <dc:creator>openpyxl</dc:creator>
  <dc:description/>
  <dc:language>en-US</dc:language>
  <cp:lastModifiedBy/>
  <dcterms:modified xsi:type="dcterms:W3CDTF">2026-09-14T07:14:56Z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